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<sst xmlns="http://schemas.openxmlformats.org/spreadsheetml/2006/main" count="28" uniqueCount="28">
  <si>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Name</t>
  </si>
  <si>
    <t xml:space="preserve">Range (km)</t>
  </si>
  <si>
    <t xml:space="preserve">Endurance (hr)</t>
  </si>
  <si>
    <t xml:space="preserve">Cruise Speed (m/s)</t>
  </si>
  <si>
    <t xml:space="preserve">MTOW (kg)</t>
  </si>
  <si>
    <t xml:space="preserve">Payload Weight (kg)</t>
  </si>
  <si>
    <t xml:space="preserve">Empty Weight (kg)</t>
  </si>
  <si>
    <t xml:space="preserve">Battery Weight (kg)</t>
  </si>
  <si>
    <t xml:space="preserve">Wing Span (m)</t>
  </si>
  <si>
    <t xml:space="preserve">Wing Area (m^2)</t>
  </si>
  <si>
    <t xml:space="preserve">Fuselage Length (m)</t>
  </si>
  <si>
    <t xml:space="preserve">Aspect Ratio</t>
  </si>
  <si>
    <t>Empty_weight_ratio</t>
  </si>
  <si>
    <t xml:space="preserve">Yangda Mapird Pro</t>
  </si>
  <si>
    <t xml:space="preserve">Foxtech Nimbus</t>
  </si>
  <si>
    <t xml:space="preserve">FlyDragon FLY-2100</t>
  </si>
  <si>
    <t>Q200</t>
  </si>
  <si>
    <t xml:space="preserve">Yangda Nim- bus Pro</t>
  </si>
  <si>
    <t xml:space="preserve">Black Swift S2</t>
  </si>
  <si>
    <t xml:space="preserve">Yangda Mapird Plus</t>
  </si>
  <si>
    <t>-</t>
  </si>
  <si>
    <t xml:space="preserve">Yangda FW- 250</t>
  </si>
  <si>
    <t xml:space="preserve">Avy Aera</t>
  </si>
  <si>
    <t xml:space="preserve">SkyEye Sierra</t>
  </si>
  <si>
    <t xml:space="preserve">Foxtech Baby Shark 260</t>
  </si>
  <si>
    <t xml:space="preserve">P330 Pro</t>
  </si>
  <si>
    <t xml:space="preserve">Foxtech AYK-250</t>
  </si>
  <si>
    <t xml:space="preserve">Wingcopter 178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</si>
</sst>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5.8515625"/>
    <col customWidth="1" min="5" max="5" width="12.8515625"/>
    <col customWidth="1" min="6" max="6" width="11.8515625"/>
    <col customWidth="1" min="7" max="7" width="12.140625"/>
    <col customWidth="1" min="8" max="8" width="11.140625"/>
    <col customWidth="1" min="9" max="9" width="16.00390625"/>
    <col customWidth="1" min="10" max="10" width="15.7109375"/>
    <col customWidth="1" min="11" max="11" width="12.8515625"/>
    <col customWidth="1" min="12" max="12" width="16.00390625"/>
    <col customWidth="1" min="13" max="13" width="17.14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4.25">
      <c r="A2" t="s">
        <v>13</v>
      </c>
      <c r="B2">
        <v>114.444</v>
      </c>
      <c r="C2">
        <v>1.8700000000000001</v>
      </c>
      <c r="D2">
        <v>17</v>
      </c>
      <c r="E2">
        <v>7.5</v>
      </c>
      <c r="F2">
        <v>1.1399999999999999</v>
      </c>
      <c r="G2">
        <v>4</v>
      </c>
      <c r="H2">
        <v>2.3599999999999999</v>
      </c>
      <c r="I2">
        <v>2.1000000000000001</v>
      </c>
      <c r="J2">
        <v>0.5</v>
      </c>
      <c r="K2">
        <v>1.2</v>
      </c>
      <c r="L2">
        <v>8.8200000000000003</v>
      </c>
      <c r="M2">
        <f>G2/E2</f>
        <v>0.53333333333333333</v>
      </c>
    </row>
    <row r="3" ht="14.25">
      <c r="A3" t="s">
        <v>14</v>
      </c>
      <c r="D3">
        <v>35</v>
      </c>
      <c r="E3">
        <v>6</v>
      </c>
      <c r="F3">
        <v>0.80000000000000004</v>
      </c>
      <c r="G3">
        <v>2.8500000000000001</v>
      </c>
      <c r="H3">
        <v>2.3500000000000001</v>
      </c>
      <c r="I3">
        <v>1.8</v>
      </c>
      <c r="J3">
        <v>0.38</v>
      </c>
      <c r="K3">
        <v>1.3</v>
      </c>
      <c r="L3">
        <v>8.5263157889999999</v>
      </c>
      <c r="M3">
        <f>G3/E3</f>
        <v>0.47500000000000003</v>
      </c>
    </row>
    <row r="4" ht="14.25">
      <c r="A4" t="s">
        <v>15</v>
      </c>
      <c r="B4">
        <v>200</v>
      </c>
      <c r="C4">
        <v>2.2999999999999998</v>
      </c>
      <c r="D4">
        <v>18</v>
      </c>
      <c r="E4">
        <v>7</v>
      </c>
      <c r="F4">
        <v>1.2</v>
      </c>
      <c r="G4">
        <v>3.3999999999999999</v>
      </c>
      <c r="H4">
        <v>2.3999999999999999</v>
      </c>
      <c r="I4">
        <v>2.1000000000000001</v>
      </c>
      <c r="J4">
        <v>0.52000000000000002</v>
      </c>
      <c r="K4">
        <v>1.2</v>
      </c>
      <c r="L4">
        <v>8.480769231</v>
      </c>
      <c r="M4">
        <f>G4/E4</f>
        <v>0.48571428571428571</v>
      </c>
    </row>
    <row r="5" ht="14.25">
      <c r="A5" t="s">
        <v>16</v>
      </c>
      <c r="B5">
        <v>65</v>
      </c>
      <c r="C5">
        <v>1.5</v>
      </c>
      <c r="D5">
        <v>12</v>
      </c>
      <c r="E5">
        <v>7</v>
      </c>
      <c r="F5">
        <v>2.5</v>
      </c>
      <c r="G5">
        <v>3.3999999999999999</v>
      </c>
      <c r="H5">
        <v>1.1000000000000001</v>
      </c>
      <c r="I5">
        <v>1.95</v>
      </c>
      <c r="J5">
        <v>0.59999999999999998</v>
      </c>
      <c r="L5">
        <v>6.3375000000000004</v>
      </c>
      <c r="M5">
        <f>G5/E5</f>
        <v>0.48571428571428571</v>
      </c>
    </row>
    <row r="6" ht="14.25">
      <c r="A6" t="s">
        <v>17</v>
      </c>
      <c r="B6">
        <v>120.23999999999999</v>
      </c>
      <c r="C6">
        <v>1.6699999999999999</v>
      </c>
      <c r="D6">
        <v>20</v>
      </c>
      <c r="E6">
        <v>8.5999999999999996</v>
      </c>
      <c r="F6">
        <v>2</v>
      </c>
      <c r="G6">
        <v>4.0300000000000002</v>
      </c>
      <c r="H6">
        <v>2.5600000000000001</v>
      </c>
      <c r="I6">
        <v>1.95</v>
      </c>
      <c r="J6">
        <v>0.46000000000000002</v>
      </c>
      <c r="K6">
        <v>1.3</v>
      </c>
      <c r="L6">
        <v>8.2663043480000002</v>
      </c>
      <c r="M6">
        <f>G6/E6</f>
        <v>0.46860465116279076</v>
      </c>
    </row>
    <row r="7" ht="14.25">
      <c r="A7" t="s">
        <v>18</v>
      </c>
      <c r="B7">
        <v>10</v>
      </c>
      <c r="C7">
        <v>2</v>
      </c>
      <c r="D7">
        <v>18</v>
      </c>
      <c r="E7">
        <v>9.5</v>
      </c>
      <c r="F7">
        <v>2.2999999999999998</v>
      </c>
      <c r="G7">
        <v>5.7000000000000002</v>
      </c>
      <c r="H7">
        <v>1.5</v>
      </c>
      <c r="I7">
        <v>3</v>
      </c>
      <c r="J7">
        <v>0.69999999999999996</v>
      </c>
      <c r="L7">
        <v>12.85714286</v>
      </c>
      <c r="M7">
        <f>G7/E7</f>
        <v>0.59999999999999998</v>
      </c>
    </row>
    <row r="8" ht="14.25">
      <c r="A8" t="s">
        <v>19</v>
      </c>
      <c r="B8" t="s">
        <v>20</v>
      </c>
      <c r="C8">
        <v>2.23</v>
      </c>
      <c r="D8">
        <v>20</v>
      </c>
      <c r="E8">
        <v>11.5</v>
      </c>
      <c r="F8">
        <v>1.5</v>
      </c>
      <c r="G8">
        <v>5</v>
      </c>
      <c r="H8">
        <v>4.7199999999999998</v>
      </c>
      <c r="I8">
        <v>2.4300000000000002</v>
      </c>
      <c r="J8">
        <v>0.65000000000000002</v>
      </c>
      <c r="K8">
        <v>1.3999999999999999</v>
      </c>
      <c r="L8">
        <v>9.0844615379999993</v>
      </c>
      <c r="M8">
        <f>G8/E8</f>
        <v>0.43478260869565216</v>
      </c>
    </row>
    <row r="9" ht="14.25">
      <c r="A9" t="s">
        <v>21</v>
      </c>
      <c r="B9">
        <v>180</v>
      </c>
      <c r="C9">
        <v>2</v>
      </c>
      <c r="D9">
        <v>25</v>
      </c>
      <c r="E9">
        <v>12</v>
      </c>
      <c r="F9">
        <v>2</v>
      </c>
      <c r="G9">
        <v>5.5</v>
      </c>
      <c r="H9">
        <v>4.5</v>
      </c>
      <c r="I9">
        <v>2.5</v>
      </c>
      <c r="J9">
        <v>0.52000000000000002</v>
      </c>
      <c r="K9">
        <v>1.3999999999999999</v>
      </c>
      <c r="L9">
        <v>12.01923077</v>
      </c>
      <c r="M9">
        <f>G9/E9</f>
        <v>0.45833333333333331</v>
      </c>
    </row>
    <row r="10" ht="14.25">
      <c r="A10" t="s">
        <v>22</v>
      </c>
      <c r="B10">
        <v>67.896000000000001</v>
      </c>
      <c r="C10">
        <v>0.92000000000000004</v>
      </c>
      <c r="D10">
        <v>20.5</v>
      </c>
      <c r="E10">
        <v>12</v>
      </c>
      <c r="F10">
        <v>1.5</v>
      </c>
      <c r="G10">
        <v>6.9000000000000004</v>
      </c>
      <c r="H10">
        <v>3.6000000000000001</v>
      </c>
      <c r="I10">
        <v>2.3999999999999999</v>
      </c>
      <c r="J10">
        <v>0.95999999999999996</v>
      </c>
      <c r="K10">
        <v>1.3</v>
      </c>
      <c r="L10">
        <v>6</v>
      </c>
      <c r="M10">
        <f>G10/E10</f>
        <v>0.57500000000000007</v>
      </c>
    </row>
    <row r="11" ht="14.25">
      <c r="A11" t="s">
        <v>23</v>
      </c>
      <c r="B11">
        <v>500</v>
      </c>
      <c r="C11">
        <v>4.5</v>
      </c>
      <c r="D11">
        <v>18</v>
      </c>
      <c r="E11">
        <v>12.5</v>
      </c>
      <c r="F11">
        <v>5</v>
      </c>
      <c r="G11">
        <v>7.5</v>
      </c>
      <c r="I11">
        <v>2</v>
      </c>
      <c r="J11">
        <v>0.29999999999999999</v>
      </c>
      <c r="K11">
        <v>1.5</v>
      </c>
      <c r="L11">
        <v>13.33333333</v>
      </c>
      <c r="M11">
        <f>G11/E11</f>
        <v>0.59999999999999998</v>
      </c>
    </row>
    <row r="12" ht="14.25">
      <c r="A12" t="s">
        <v>24</v>
      </c>
      <c r="B12">
        <v>198</v>
      </c>
      <c r="C12">
        <v>2.5</v>
      </c>
      <c r="D12">
        <v>22</v>
      </c>
      <c r="E12">
        <v>13</v>
      </c>
      <c r="F12">
        <v>2.1000000000000001</v>
      </c>
      <c r="G12">
        <v>5.5999999999999996</v>
      </c>
      <c r="H12">
        <v>5.2999999999999998</v>
      </c>
      <c r="I12">
        <v>2.5</v>
      </c>
      <c r="J12">
        <v>0.5</v>
      </c>
      <c r="K12">
        <v>1.4399999999999999</v>
      </c>
      <c r="L12">
        <v>12.5</v>
      </c>
      <c r="M12">
        <f>G12/E12</f>
        <v>0.43076923076923074</v>
      </c>
    </row>
    <row r="13" ht="14.25">
      <c r="A13" t="s">
        <v>25</v>
      </c>
      <c r="B13">
        <v>201.852</v>
      </c>
      <c r="C13">
        <v>2.6699999999999999</v>
      </c>
      <c r="D13">
        <v>21</v>
      </c>
      <c r="E13">
        <v>14</v>
      </c>
      <c r="F13">
        <v>2</v>
      </c>
      <c r="G13">
        <v>6.2999999999999998</v>
      </c>
      <c r="H13">
        <v>5.7000000000000002</v>
      </c>
      <c r="I13">
        <v>2.5299999999999998</v>
      </c>
      <c r="J13">
        <v>0.56000000000000005</v>
      </c>
      <c r="K13">
        <v>1.21</v>
      </c>
      <c r="L13">
        <v>11.430178570000001</v>
      </c>
      <c r="M13">
        <f>G13/E13</f>
        <v>0.45000000000000001</v>
      </c>
    </row>
    <row r="14" ht="14.25">
      <c r="A14" t="s">
        <v>26</v>
      </c>
      <c r="B14">
        <v>374.39999999999998</v>
      </c>
      <c r="C14">
        <v>4</v>
      </c>
      <c r="D14">
        <v>26</v>
      </c>
      <c r="E14">
        <v>15</v>
      </c>
      <c r="F14">
        <v>2.2000000000000002</v>
      </c>
      <c r="G14">
        <v>7.4000000000000004</v>
      </c>
      <c r="H14">
        <v>5.4000000000000004</v>
      </c>
      <c r="I14">
        <v>2.5</v>
      </c>
      <c r="J14">
        <v>0.5</v>
      </c>
      <c r="K14">
        <v>1.26</v>
      </c>
      <c r="L14">
        <v>12.5</v>
      </c>
      <c r="M14">
        <f>G14/E14</f>
        <v>0.49333333333333335</v>
      </c>
    </row>
    <row r="15" ht="14.25">
      <c r="A15" t="s">
        <v>27</v>
      </c>
      <c r="B15">
        <v>100</v>
      </c>
      <c r="C15">
        <v>1.5</v>
      </c>
      <c r="D15">
        <v>42</v>
      </c>
      <c r="E15">
        <v>18</v>
      </c>
      <c r="F15">
        <v>2</v>
      </c>
      <c r="G15">
        <v>8.4000000000000004</v>
      </c>
      <c r="H15">
        <v>7.5999999999999996</v>
      </c>
      <c r="I15">
        <v>1.78</v>
      </c>
      <c r="J15">
        <v>0.57999999999999996</v>
      </c>
      <c r="K15">
        <v>1.3200000000000001</v>
      </c>
      <c r="L15">
        <v>5.4627586209999999</v>
      </c>
      <c r="M15">
        <f>G15/E15</f>
        <v>0.46666666666666667</v>
      </c>
    </row>
  </sheetData>
  <sortState ref="A2:M15" columnSort="0">
    <sortCondition sortBy="value" descending="0" ref="E2:E15"/>
  </sortState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2026-03-05T12:23:03Z</dcterms:modified>
</cp:coreProperties>
</file>