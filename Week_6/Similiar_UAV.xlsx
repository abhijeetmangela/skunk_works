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Useless" sheetId="2" r:id="rId6"/>
    <sheet state="visible" name="New data" sheetId="3" r:id="rId7"/>
    <sheet state="visible" name="Sheet4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tc={e7907101-08d8-44bd-8caa-827df3291042}</author>
  </authors>
  <commentList>
    <comment authorId="0" xr:uid="{e7907101-08d8-44bd-8caa-827df3291042}" ref="M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Theoretical
</t>
      </text>
    </comment>
  </commentList>
</comments>
</file>

<file path=xl/sharedStrings.xml><?xml version="1.0" encoding="utf-8"?>
<sst xmlns="http://schemas.openxmlformats.org/spreadsheetml/2006/main" count="199" uniqueCount="81">
  <si>
    <t>Name</t>
  </si>
  <si>
    <t>Range (km)</t>
  </si>
  <si>
    <t>Endurance (hr)</t>
  </si>
  <si>
    <t>Cruise Speed (m/s)</t>
  </si>
  <si>
    <t>MTOW (kg)</t>
  </si>
  <si>
    <t>Payload Weight (kg)</t>
  </si>
  <si>
    <t>Empty Weight (kg)</t>
  </si>
  <si>
    <t>Battery Weight (kg)</t>
  </si>
  <si>
    <t>Wing Span (m)</t>
  </si>
  <si>
    <t>Wing Area (m^2)</t>
  </si>
  <si>
    <t>Fuselage Length (m)</t>
  </si>
  <si>
    <t>Aspect Ratio</t>
  </si>
  <si>
    <t>Tip Chord (mm)</t>
  </si>
  <si>
    <t>Root Chord (mm)</t>
  </si>
  <si>
    <t>Taper Ratio</t>
  </si>
  <si>
    <t>Yangda Mapird Pro</t>
  </si>
  <si>
    <t>Yangda Mapird Plus</t>
  </si>
  <si>
    <t>-</t>
  </si>
  <si>
    <t xml:space="preserve"> </t>
  </si>
  <si>
    <t>Yangda Nim- bus Pro</t>
  </si>
  <si>
    <t>Yangda FW- 250</t>
  </si>
  <si>
    <t>Avy Aera</t>
  </si>
  <si>
    <t>Foxtech Baby Shark 260</t>
  </si>
  <si>
    <t>P330 Pro</t>
  </si>
  <si>
    <t>Foxtech AYK-250</t>
  </si>
  <si>
    <t>Wingcopter 178</t>
  </si>
  <si>
    <t>FlyDragon FLY-2100</t>
  </si>
  <si>
    <t>Black Swift S2</t>
  </si>
  <si>
    <t>Q200</t>
  </si>
  <si>
    <t>SkyEye Sierra</t>
  </si>
  <si>
    <t>Foxtech Nimbus</t>
  </si>
  <si>
    <t>NAME</t>
  </si>
  <si>
    <t>MTOW(kg)</t>
  </si>
  <si>
    <t>Wingspan(m)</t>
  </si>
  <si>
    <t>Range(km)</t>
  </si>
  <si>
    <t>Endurance(hrs)</t>
  </si>
  <si>
    <t>Payload(kg)</t>
  </si>
  <si>
    <t>Configuration (Hybrid/Fixed wing)</t>
  </si>
  <si>
    <t>Power Source</t>
  </si>
  <si>
    <t>Aeromapper
Talon</t>
  </si>
  <si>
    <t>Fixed wing</t>
  </si>
  <si>
    <t>LonLord WD-UAV</t>
  </si>
  <si>
    <t>Zipline Platform 1</t>
  </si>
  <si>
    <t>Fixed Wing</t>
  </si>
  <si>
    <t>DAGGER DGR 27</t>
  </si>
  <si>
    <t>DAGGER DGR 20</t>
  </si>
  <si>
    <t>Aero360 Vyoma M</t>
  </si>
  <si>
    <t>Aero360 Vyoma S</t>
  </si>
  <si>
    <t>FIXAR 007 LE</t>
  </si>
  <si>
    <t>Hybrid</t>
  </si>
  <si>
    <t>Prototype UAV</t>
  </si>
  <si>
    <t>Trinity F90+</t>
  </si>
  <si>
    <t>Sensefly eBee X</t>
  </si>
  <si>
    <t>Bramore C4EYE</t>
  </si>
  <si>
    <t>Eiger</t>
  </si>
  <si>
    <t>Aeromayo VT Naut</t>
  </si>
  <si>
    <t>Wingcopter178</t>
  </si>
  <si>
    <t>Fuselage length (mm)</t>
  </si>
  <si>
    <t>Albatross UAV</t>
  </si>
  <si>
    <t>Puma LE</t>
  </si>
  <si>
    <t xml:space="preserve">3m Ranger </t>
  </si>
  <si>
    <t>—</t>
  </si>
  <si>
    <t>Striver</t>
  </si>
  <si>
    <t>PUMA 3AE</t>
  </si>
  <si>
    <t>Apple White Milo</t>
  </si>
  <si>
    <t>FT 100 Horus</t>
  </si>
  <si>
    <t>PUMA LE</t>
  </si>
  <si>
    <t>Milo</t>
  </si>
  <si>
    <t>Raven B</t>
  </si>
  <si>
    <t>FT-100 Horus</t>
  </si>
  <si>
    <t>Nova F7200</t>
  </si>
  <si>
    <t>Payload (kg)</t>
  </si>
  <si>
    <t>Wing Area (m²)</t>
  </si>
  <si>
    <t>3 m Ranger</t>
  </si>
  <si>
    <t>17–21</t>
  </si>
  <si>
    <t>Believer</t>
  </si>
  <si>
    <t>Desert Hawk 3</t>
  </si>
  <si>
    <t>9–15</t>
  </si>
  <si>
    <t>1–2</t>
  </si>
  <si>
    <t>6–8</t>
  </si>
  <si>
    <t>Aeromapper Talon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</si>
</sst>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m-d"/>
  </numFmts>
  <fonts count="15">
    <font>
      <sz val="10.0"/>
      <color rgb="FF000000"/>
      <name val="Arial"/>
      <scheme val="minor"/>
    </font>
    <font>
      <sz val="13.0"/>
      <color theme="1"/>
      <name val="Times New Roman"/>
    </font>
    <font>
      <u/>
      <sz val="13.0"/>
      <color rgb="FF0000FF"/>
      <name val="Times New Roman"/>
    </font>
    <font>
      <sz val="13.0"/>
      <color rgb="FF212529"/>
      <name val="Times New Roman"/>
    </font>
    <font>
      <color theme="1"/>
      <name val="Arial"/>
      <scheme val="minor"/>
    </font>
    <font>
      <u/>
      <sz val="13.0"/>
      <color rgb="FF0000FF"/>
      <name val="Times New Roman"/>
    </font>
    <font>
      <u/>
      <sz val="13.0"/>
      <color rgb="FF434343"/>
      <name val="Times New Roman"/>
    </font>
    <font>
      <color theme="1"/>
      <name val="Arial"/>
    </font>
    <font>
      <sz val="13.0"/>
      <color rgb="FF000000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3.0"/>
      <color rgb="FF000000"/>
      <name val="Times New Roman"/>
    </font>
    <font>
      <sz val="13.0"/>
      <color rgb="FF434343"/>
      <name val="Times New Roman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0" fillId="2" fontId="4" numFmtId="0" xfId="0" applyAlignment="1" applyFont="1">
      <alignment shrinkToFit="0" vertical="center" wrapText="0"/>
    </xf>
    <xf borderId="0" fillId="2" fontId="1" numFmtId="0" xfId="0" applyAlignment="1" applyFont="1">
      <alignment horizontal="center" vertical="center"/>
    </xf>
    <xf borderId="1" fillId="3" fontId="5" numFmtId="0" xfId="0" applyAlignment="1" applyBorder="1" applyFill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0" fillId="3" fontId="1" numFmtId="0" xfId="0" applyAlignment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borderId="0" fillId="4" fontId="1" numFmtId="0" xfId="0" applyAlignment="1" applyFont="1">
      <alignment horizontal="center" shrinkToFit="0" vertical="center" wrapText="0"/>
    </xf>
    <xf borderId="0" fillId="4" fontId="1" numFmtId="0" xfId="0" applyAlignment="1" applyFont="1">
      <alignment horizontal="center" vertical="center"/>
    </xf>
    <xf borderId="2" fillId="4" fontId="3" numFmtId="0" xfId="0" applyAlignment="1" applyBorder="1" applyFont="1">
      <alignment horizontal="center"/>
    </xf>
    <xf borderId="2" fillId="4" fontId="7" numFmtId="0" xfId="0" applyBorder="1" applyFont="1"/>
    <xf borderId="0" fillId="4" fontId="7" numFmtId="0" xfId="0" applyFont="1"/>
    <xf borderId="0" fillId="4" fontId="1" numFmtId="0" xfId="0" applyAlignment="1" applyFont="1">
      <alignment horizontal="center"/>
    </xf>
    <xf borderId="0" fillId="0" fontId="8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5" fontId="7" numFmtId="0" xfId="0" applyAlignment="1" applyFill="1" applyFont="1">
      <alignment shrinkToFit="0" wrapText="1"/>
    </xf>
    <xf borderId="1" fillId="2" fontId="8" numFmtId="0" xfId="0" applyAlignment="1" applyBorder="1" applyFont="1">
      <alignment horizontal="center" readingOrder="0" shrinkToFit="0" vertical="center" wrapText="0"/>
    </xf>
    <xf borderId="1" fillId="2" fontId="8" numFmtId="2" xfId="0" applyAlignment="1" applyBorder="1" applyFont="1" applyNumberFormat="1">
      <alignment horizontal="center" readingOrder="0" shrinkToFit="0" vertical="center" wrapText="0"/>
    </xf>
    <xf borderId="1" fillId="2" fontId="8" numFmtId="164" xfId="0" applyAlignment="1" applyBorder="1" applyFont="1" applyNumberFormat="1">
      <alignment horizontal="center" readingOrder="0" shrinkToFit="0" vertical="center" wrapText="0"/>
    </xf>
    <xf borderId="0" fillId="2" fontId="8" numFmtId="0" xfId="0" applyAlignment="1" applyFont="1">
      <alignment horizontal="center" readingOrder="0" shrinkToFit="0" vertical="center" wrapText="0"/>
    </xf>
    <xf borderId="1" fillId="2" fontId="11" numFmtId="0" xfId="0" applyAlignment="1" applyBorder="1" applyFont="1">
      <alignment horizontal="center" readingOrder="0" shrinkToFit="0" vertical="center" wrapText="1"/>
    </xf>
    <xf borderId="0" fillId="4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wrapText="1"/>
    </xf>
    <xf borderId="0" fillId="4" fontId="4" numFmtId="0" xfId="0" applyAlignment="1" applyFont="1">
      <alignment shrinkToFit="0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165" xfId="0" applyAlignment="1" applyFont="1" applyNumberForma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13" numFmtId="2" xfId="0" applyAlignment="1" applyFont="1" applyNumberFormat="1">
      <alignment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1" numFmtId="164" xfId="0" applyAlignment="1" applyFont="1" applyNumberFormat="1">
      <alignment shrinkToFit="0" vertical="center" wrapText="1"/>
    </xf>
    <xf borderId="0" fillId="4" fontId="1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14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3">
    <tableStyle count="5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New data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Sheet4-style">
      <tableStyleElement dxfId="6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ara Vishwas" id="{875cbb8b-25b8-490f-bd95-f836378267aa}" providerId="google-sheets"/>
</x18tc:personList>
</file>

<file path=xl/tables/table1.xml><?xml version="1.0" encoding="utf-8"?>
<table xmlns="http://schemas.openxmlformats.org/spreadsheetml/2006/main" totalsRowCount="1" ref="A1:O16" displayName="Table1" name="Table1" id="1">
  <tableColumns count="15">
    <tableColumn name="Name" id="1"/>
    <tableColumn name="Range (km)" id="2"/>
    <tableColumn name="Endurance (hr)" id="3"/>
    <tableColumn name="Cruise Speed (m/s)" id="4"/>
    <tableColumn name="MTOW (kg)" id="5"/>
    <tableColumn name="Payload Weight (kg)" id="6"/>
    <tableColumn name="Empty Weight (kg)" id="7"/>
    <tableColumn name="Battery Weight (kg)" id="8"/>
    <tableColumn name="Wing Span (m)" id="9"/>
    <tableColumn name="Wing Area (m^2)" id="10"/>
    <tableColumn name="Fuselage Length (m)" id="11"/>
    <tableColumn totalsRowFunction="custom" name="Aspect Ratio" id="12"/>
    <tableColumn name="Tip Chord (mm)" id="13"/>
    <tableColumn name="Root Chord (mm)" id="14"/>
    <tableColumn name="Taper Ratio" id="1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O9" displayName="Table2" name="Table2" id="2">
  <tableColumns count="15">
    <tableColumn name="Name" id="1"/>
    <tableColumn name="Range (km)" id="2"/>
    <tableColumn name="Endurance (hr)" id="3"/>
    <tableColumn name="Cruise Speed (m/s)" id="4"/>
    <tableColumn name="MTOW (kg)" id="5"/>
    <tableColumn name="Payload Weight (kg)" id="6"/>
    <tableColumn name="Empty Weight (kg)" id="7"/>
    <tableColumn name="Battery Weight (kg)" id="8"/>
    <tableColumn name="Wing Span (m)" id="9"/>
    <tableColumn name="Wing Area (m^2)" id="10"/>
    <tableColumn name="Aspect Ratio" id="11"/>
    <tableColumn name="Tip Chord (mm)" id="12"/>
    <tableColumn name="Root Chord (mm)" id="13"/>
    <tableColumn name="Taper Ratio" id="14"/>
    <tableColumn name="Fuselage length (mm)" id="15"/>
  </tableColumns>
  <tableStyleInfo name="New data-style" showColumnStripes="0" showFirstColumn="1" showLastColumn="1" showRowStripes="1"/>
</table>
</file>

<file path=xl/tables/table3.xml><?xml version="1.0" encoding="utf-8"?>
<table xmlns="http://schemas.openxmlformats.org/spreadsheetml/2006/main" ref="A1:J8" displayName="Table3" name="Table3" id="3">
  <tableColumns count="10">
    <tableColumn name="Name" id="1"/>
    <tableColumn name="Range (km)" id="2"/>
    <tableColumn name="Endurance (hr)" id="3"/>
    <tableColumn name="Cruise Speed (m/s)" id="4"/>
    <tableColumn name="MTOW (kg)" id="5"/>
    <tableColumn name="Payload Weight (kg)" id="6"/>
    <tableColumn name="Empty Weight (kg)" id="7"/>
    <tableColumn name="Wing Span (m)" id="8"/>
    <tableColumn name="Wing Area (m^2)" id="9"/>
    <tableColumn name="Fuselage Length (m)" id="10"/>
  </tableColumns>
  <tableStyleInfo name="Sheet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5" dT="2026-02-08T07:16:16.00" personId="{875cbb8b-25b8-490f-bd95-f836378267aa}" id="{e7907101-08d8-44bd-8caa-827df3291042}" done="1">
    <x18tc:text xml:space="preserve">Theoretical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hcthailand.com/p330-pro" TargetMode="External"/><Relationship Id="rId10" Type="http://schemas.openxmlformats.org/officeDocument/2006/relationships/hyperlink" Target="https://www.foxtechfpv.com/foxtech-baby-shark-vtol.html" TargetMode="External"/><Relationship Id="rId21" Type="http://schemas.openxmlformats.org/officeDocument/2006/relationships/table" Target="../tables/table1.xml"/><Relationship Id="rId13" Type="http://schemas.openxmlformats.org/officeDocument/2006/relationships/hyperlink" Target="https://wingcopter.com/wp-content/uploads/2021/02/Technical-Details-Wingcopter-178-Heavy-Lift-A-Delivery-Variant-1-1.pdf" TargetMode="External"/><Relationship Id="rId12" Type="http://schemas.openxmlformats.org/officeDocument/2006/relationships/hyperlink" Target="https://www.foxtechfpv.com/foxtech-ayk-250-vtol.html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yangdaonline.com/yangda-mapird-pro-long-endurance-vtol-drone-for-mapping-and-surveillance/" TargetMode="External"/><Relationship Id="rId9" Type="http://schemas.openxmlformats.org/officeDocument/2006/relationships/hyperlink" Target="https://avy.eu/product/aera" TargetMode="External"/><Relationship Id="rId15" Type="http://schemas.openxmlformats.org/officeDocument/2006/relationships/hyperlink" Target="https://bst.aero/black-swift-s2-uas/" TargetMode="External"/><Relationship Id="rId14" Type="http://schemas.openxmlformats.org/officeDocument/2006/relationships/hyperlink" Target="https://www.mavdrones.com/fly-dragon-fly-2160-vtol-blog/" TargetMode="External"/><Relationship Id="rId17" Type="http://schemas.openxmlformats.org/officeDocument/2006/relationships/hyperlink" Target="https://www.foxtechfpv.com/product/fixedwing/2008202-Nimbus-manual-en.pdf" TargetMode="External"/><Relationship Id="rId16" Type="http://schemas.openxmlformats.org/officeDocument/2006/relationships/hyperlink" Target="https://bavovna.ai/uav/skyeye-sierra-vtol-uav/" TargetMode="External"/><Relationship Id="rId5" Type="http://schemas.openxmlformats.org/officeDocument/2006/relationships/hyperlink" Target="https://docs.yangdaonline.com/yangda-docs/vtol-drone-user-manual/mapird-pro-vtol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https://www.yangdaonline.com/yangda-mapird-plus-long-endurance-vtol-drone-for-mapping-and-surveillance/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ocs.yangdaonline.com/yangda-docs/vtol-drone-user-manual/mapird-plus-vtol" TargetMode="External"/><Relationship Id="rId8" Type="http://schemas.openxmlformats.org/officeDocument/2006/relationships/hyperlink" Target="https://docs.yangdaonline.com/yangda-docs/vtol-drone-user-manual/fw250-vto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searchgate.net/publication/347802569_A_prototype_of_Fixed_Wing_UAV_for_delivery_of_Medical_Supplies" TargetMode="External"/><Relationship Id="rId2" Type="http://schemas.openxmlformats.org/officeDocument/2006/relationships/hyperlink" Target="https://rigi.tech/wp-content/uploads/2023/09/Eiger-Technical-Spec-Sheet-Aug-2023.pdf" TargetMode="External"/><Relationship Id="rId3" Type="http://schemas.openxmlformats.org/officeDocument/2006/relationships/hyperlink" Target="https://wingcopter.com/wp-content/uploads/2021/02/Technical-Details-Wingcopter-178-Heavy-Lift-A-Delivery-Variant-1-1.pdf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table" Target="../tables/table2.xml"/><Relationship Id="rId1" Type="http://schemas.openxmlformats.org/officeDocument/2006/relationships/hyperlink" Target="https://www.unmannedsystemstechnology.com/wp-content/uploads/2018/11/Albatross-UAV-Datasheet.pdf" TargetMode="External"/><Relationship Id="rId2" Type="http://schemas.openxmlformats.org/officeDocument/2006/relationships/hyperlink" Target="https://www.avinc.com/images/uploads/product_docs/Puma_LE_Datasheet_07122021.pdf" TargetMode="External"/><Relationship Id="rId3" Type="http://schemas.openxmlformats.org/officeDocument/2006/relationships/hyperlink" Target="https://www.sparkletech.hk/%E9%B9%B0%E7%9C%BC-%E6%97%A0%E4%BA%BA%E6%9C%BA/electric-power/3m-ranger/" TargetMode="External"/><Relationship Id="rId4" Type="http://schemas.openxmlformats.org/officeDocument/2006/relationships/hyperlink" Target="https://uavgarage.com/shop/makeflyeasy-striver-mini-binary-2100mm-fixed-wing-drones/" TargetMode="External"/><Relationship Id="rId5" Type="http://schemas.openxmlformats.org/officeDocument/2006/relationships/hyperlink" Target="https://www.avinc.com/images/uploads/product_docs/2025_Puma3AE_Datasheet_250707_v08.pdf" TargetMode="External"/><Relationship Id="rId6" Type="http://schemas.openxmlformats.org/officeDocument/2006/relationships/hyperlink" Target="https://pdf.aeroexpo.online/pdf/applewhite-aero/milo-uas/181447-7336.html" TargetMode="External"/><Relationship Id="rId7" Type="http://schemas.openxmlformats.org/officeDocument/2006/relationships/hyperlink" Target="https://www.army-technology.com/projects/horus-ft-100-unmanned-aerial-vehicle-uav/?cf-view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5.75"/>
    <col customWidth="1" min="3" max="3" width="18.5"/>
    <col customWidth="1" min="4" max="4" width="22.13"/>
    <col customWidth="1" min="5" max="5" width="16.5"/>
    <col customWidth="1" min="6" max="6" width="23.38"/>
    <col customWidth="1" min="7" max="7" width="22.13"/>
    <col customWidth="1" min="8" max="8" width="22.75"/>
    <col customWidth="1" min="9" max="9" width="18.75"/>
    <col customWidth="1" min="10" max="10" width="20.75"/>
    <col customWidth="1" min="11" max="11" width="23.63"/>
    <col customWidth="1" min="12" max="12" width="16.25"/>
    <col customWidth="1" min="13" max="13" width="19.75"/>
    <col customWidth="1" min="14" max="14" width="21.0"/>
    <col customWidth="1" min="15" max="15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22.5" customHeight="1">
      <c r="A2" s="5" t="s">
        <v>15</v>
      </c>
      <c r="B2" s="5">
        <v>114.444</v>
      </c>
      <c r="C2" s="6">
        <v>1.87</v>
      </c>
      <c r="D2" s="6">
        <v>17.0</v>
      </c>
      <c r="E2" s="6">
        <v>7.5</v>
      </c>
      <c r="F2" s="6">
        <v>1.14</v>
      </c>
      <c r="G2" s="6">
        <v>4.0</v>
      </c>
      <c r="H2" s="6">
        <v>2.36</v>
      </c>
      <c r="I2" s="6">
        <v>2.1</v>
      </c>
      <c r="J2" s="6">
        <v>0.5</v>
      </c>
      <c r="K2" s="6">
        <v>1.2</v>
      </c>
      <c r="L2" s="7">
        <f t="shared" ref="L2:L15" si="1">DIVIDE(POW(I2,2),J2)</f>
        <v>8.82</v>
      </c>
      <c r="M2" s="8"/>
      <c r="N2" s="8"/>
      <c r="O2" s="8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22.5" customHeight="1">
      <c r="A3" s="10" t="s">
        <v>16</v>
      </c>
      <c r="B3" s="10" t="s">
        <v>17</v>
      </c>
      <c r="C3" s="11">
        <v>2.23</v>
      </c>
      <c r="D3" s="11">
        <v>20.0</v>
      </c>
      <c r="E3" s="11">
        <v>11.5</v>
      </c>
      <c r="F3" s="11">
        <v>1.5</v>
      </c>
      <c r="G3" s="11">
        <v>5.0</v>
      </c>
      <c r="H3" s="11">
        <v>4.72</v>
      </c>
      <c r="I3" s="11">
        <v>2.43</v>
      </c>
      <c r="J3" s="11">
        <v>0.65</v>
      </c>
      <c r="K3" s="11">
        <v>1.4</v>
      </c>
      <c r="L3" s="12">
        <f t="shared" si="1"/>
        <v>9.084461538</v>
      </c>
      <c r="M3" s="13"/>
      <c r="N3" s="13"/>
      <c r="O3" s="14" t="s">
        <v>18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ht="22.5" customHeight="1">
      <c r="A4" s="6" t="s">
        <v>19</v>
      </c>
      <c r="B4" s="6">
        <v>120.24</v>
      </c>
      <c r="C4" s="6">
        <v>1.67</v>
      </c>
      <c r="D4" s="6">
        <v>20.0</v>
      </c>
      <c r="E4" s="6">
        <v>8.6</v>
      </c>
      <c r="F4" s="6">
        <v>2.0</v>
      </c>
      <c r="G4" s="6">
        <v>4.03</v>
      </c>
      <c r="H4" s="6">
        <v>2.56</v>
      </c>
      <c r="I4" s="6">
        <v>1.95</v>
      </c>
      <c r="J4" s="6">
        <v>0.46</v>
      </c>
      <c r="K4" s="6">
        <v>1.3</v>
      </c>
      <c r="L4" s="7">
        <f t="shared" si="1"/>
        <v>8.266304348</v>
      </c>
      <c r="M4" s="16"/>
      <c r="N4" s="16"/>
      <c r="O4" s="16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22.5" customHeight="1">
      <c r="A5" s="5" t="s">
        <v>20</v>
      </c>
      <c r="B5" s="6">
        <v>180.0</v>
      </c>
      <c r="C5" s="6">
        <v>2.0</v>
      </c>
      <c r="D5" s="6">
        <v>25.0</v>
      </c>
      <c r="E5" s="6">
        <v>12.0</v>
      </c>
      <c r="F5" s="6">
        <v>2.0</v>
      </c>
      <c r="G5" s="6">
        <v>5.5</v>
      </c>
      <c r="H5" s="6">
        <v>4.5</v>
      </c>
      <c r="I5" s="6">
        <v>2.5</v>
      </c>
      <c r="J5" s="6">
        <v>0.52</v>
      </c>
      <c r="K5" s="6">
        <v>1.4</v>
      </c>
      <c r="L5" s="7">
        <f t="shared" si="1"/>
        <v>12.01923077</v>
      </c>
      <c r="M5" s="17">
        <v>41.0</v>
      </c>
      <c r="N5" s="18">
        <v>290.0</v>
      </c>
      <c r="O5" s="16">
        <f t="shared" ref="O5:O9" si="2">M5/N5</f>
        <v>0.1413793103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22.5" customHeight="1">
      <c r="A6" s="5" t="s">
        <v>21</v>
      </c>
      <c r="B6" s="6">
        <v>67.896</v>
      </c>
      <c r="C6" s="6">
        <v>0.92</v>
      </c>
      <c r="D6" s="6">
        <v>20.5</v>
      </c>
      <c r="E6" s="6">
        <v>12.0</v>
      </c>
      <c r="F6" s="6">
        <v>1.5</v>
      </c>
      <c r="G6" s="6">
        <v>6.9</v>
      </c>
      <c r="H6" s="6">
        <v>3.6</v>
      </c>
      <c r="I6" s="6">
        <v>2.4</v>
      </c>
      <c r="J6" s="6">
        <v>0.96</v>
      </c>
      <c r="K6" s="6">
        <v>1.3</v>
      </c>
      <c r="L6" s="7">
        <f t="shared" si="1"/>
        <v>6</v>
      </c>
      <c r="M6" s="18">
        <v>166.0</v>
      </c>
      <c r="N6" s="18">
        <v>578.0</v>
      </c>
      <c r="O6" s="16">
        <f t="shared" si="2"/>
        <v>0.2871972318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ht="22.5" customHeight="1">
      <c r="A7" s="5" t="s">
        <v>22</v>
      </c>
      <c r="B7" s="6">
        <v>198.0</v>
      </c>
      <c r="C7" s="6">
        <v>2.5</v>
      </c>
      <c r="D7" s="6">
        <v>22.0</v>
      </c>
      <c r="E7" s="6">
        <v>13.0</v>
      </c>
      <c r="F7" s="6">
        <v>2.1</v>
      </c>
      <c r="G7" s="6">
        <v>5.6</v>
      </c>
      <c r="H7" s="6">
        <v>5.3</v>
      </c>
      <c r="I7" s="6">
        <v>2.5</v>
      </c>
      <c r="J7" s="6">
        <v>0.5</v>
      </c>
      <c r="K7" s="6">
        <v>1.44</v>
      </c>
      <c r="L7" s="7">
        <f t="shared" si="1"/>
        <v>12.5</v>
      </c>
      <c r="M7" s="18">
        <v>35.0</v>
      </c>
      <c r="N7" s="18">
        <v>295.0</v>
      </c>
      <c r="O7" s="16">
        <f t="shared" si="2"/>
        <v>0.1186440678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ht="22.5" customHeight="1">
      <c r="A8" s="5" t="s">
        <v>23</v>
      </c>
      <c r="B8" s="6">
        <v>201.852</v>
      </c>
      <c r="C8" s="6">
        <v>2.67</v>
      </c>
      <c r="D8" s="6">
        <v>21.0</v>
      </c>
      <c r="E8" s="6">
        <v>14.0</v>
      </c>
      <c r="F8" s="6">
        <v>2.0</v>
      </c>
      <c r="G8" s="6">
        <v>6.3</v>
      </c>
      <c r="H8" s="6">
        <v>5.7</v>
      </c>
      <c r="I8" s="6">
        <v>2.53</v>
      </c>
      <c r="J8" s="6">
        <v>0.56</v>
      </c>
      <c r="K8" s="6">
        <v>1.21</v>
      </c>
      <c r="L8" s="7">
        <f t="shared" si="1"/>
        <v>11.43017857</v>
      </c>
      <c r="M8" s="18">
        <v>45.0</v>
      </c>
      <c r="N8" s="18">
        <v>301.0</v>
      </c>
      <c r="O8" s="16">
        <f t="shared" si="2"/>
        <v>0.1495016611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ht="22.5" customHeight="1">
      <c r="A9" s="5" t="s">
        <v>24</v>
      </c>
      <c r="B9" s="6">
        <v>374.4</v>
      </c>
      <c r="C9" s="6">
        <v>4.0</v>
      </c>
      <c r="D9" s="6">
        <v>26.0</v>
      </c>
      <c r="E9" s="6">
        <v>15.0</v>
      </c>
      <c r="F9" s="6">
        <v>2.2</v>
      </c>
      <c r="G9" s="6">
        <v>7.4</v>
      </c>
      <c r="H9" s="6">
        <v>5.4</v>
      </c>
      <c r="I9" s="6">
        <v>2.5</v>
      </c>
      <c r="J9" s="6">
        <v>0.5</v>
      </c>
      <c r="K9" s="6">
        <v>1.26</v>
      </c>
      <c r="L9" s="7">
        <f t="shared" si="1"/>
        <v>12.5</v>
      </c>
      <c r="M9" s="18">
        <v>50.0</v>
      </c>
      <c r="N9" s="18">
        <v>277.0</v>
      </c>
      <c r="O9" s="16">
        <f t="shared" si="2"/>
        <v>0.1805054152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ht="22.5" customHeight="1">
      <c r="A10" s="5" t="s">
        <v>25</v>
      </c>
      <c r="B10" s="18">
        <v>100.0</v>
      </c>
      <c r="C10" s="18">
        <v>1.5</v>
      </c>
      <c r="D10" s="18">
        <v>42.0</v>
      </c>
      <c r="E10" s="18">
        <v>18.0</v>
      </c>
      <c r="F10" s="18">
        <v>2.0</v>
      </c>
      <c r="G10" s="18">
        <v>8.4</v>
      </c>
      <c r="H10" s="18">
        <v>7.6</v>
      </c>
      <c r="I10" s="18">
        <v>1.78</v>
      </c>
      <c r="J10" s="18">
        <v>0.58</v>
      </c>
      <c r="K10" s="18">
        <v>1.32</v>
      </c>
      <c r="L10" s="19">
        <f t="shared" si="1"/>
        <v>5.462758621</v>
      </c>
      <c r="M10" s="16"/>
      <c r="N10" s="16"/>
      <c r="O10" s="16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ht="22.5" customHeight="1">
      <c r="A11" s="5" t="s">
        <v>26</v>
      </c>
      <c r="B11" s="18">
        <v>200.0</v>
      </c>
      <c r="C11" s="18">
        <v>2.3</v>
      </c>
      <c r="D11" s="18">
        <v>18.0</v>
      </c>
      <c r="E11" s="18">
        <v>7.0</v>
      </c>
      <c r="F11" s="18">
        <v>1.2</v>
      </c>
      <c r="G11" s="18">
        <v>3.4</v>
      </c>
      <c r="H11" s="18">
        <v>2.4</v>
      </c>
      <c r="I11" s="18">
        <v>2.1</v>
      </c>
      <c r="J11" s="18">
        <v>0.52</v>
      </c>
      <c r="K11" s="18">
        <v>1.2</v>
      </c>
      <c r="L11" s="19">
        <f t="shared" si="1"/>
        <v>8.480769231</v>
      </c>
      <c r="M11" s="16"/>
      <c r="N11" s="16"/>
      <c r="O11" s="16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ht="22.5" customHeight="1">
      <c r="A12" s="5" t="s">
        <v>27</v>
      </c>
      <c r="B12" s="18">
        <v>10.0</v>
      </c>
      <c r="C12" s="18">
        <v>2.0</v>
      </c>
      <c r="D12" s="18">
        <v>18.0</v>
      </c>
      <c r="E12" s="18">
        <v>9.5</v>
      </c>
      <c r="F12" s="18">
        <v>2.3</v>
      </c>
      <c r="G12" s="18">
        <v>5.7</v>
      </c>
      <c r="H12" s="18">
        <v>1.5</v>
      </c>
      <c r="I12" s="18">
        <v>3.0</v>
      </c>
      <c r="J12" s="18">
        <v>0.7</v>
      </c>
      <c r="K12" s="16"/>
      <c r="L12" s="16">
        <f t="shared" si="1"/>
        <v>12.85714286</v>
      </c>
      <c r="M12" s="18">
        <v>194.0</v>
      </c>
      <c r="N12" s="18">
        <v>305.0</v>
      </c>
      <c r="O12" s="16">
        <f>M12/N12</f>
        <v>0.6360655738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ht="22.5" customHeight="1">
      <c r="A13" s="18" t="s">
        <v>28</v>
      </c>
      <c r="B13" s="18">
        <v>65.0</v>
      </c>
      <c r="C13" s="18">
        <v>1.5</v>
      </c>
      <c r="D13" s="18">
        <v>12.0</v>
      </c>
      <c r="E13" s="18">
        <v>7.0</v>
      </c>
      <c r="F13" s="18">
        <v>2.5</v>
      </c>
      <c r="G13" s="18">
        <v>3.4</v>
      </c>
      <c r="H13" s="18">
        <v>1.1</v>
      </c>
      <c r="I13" s="18">
        <v>1.95</v>
      </c>
      <c r="J13" s="18">
        <v>0.6</v>
      </c>
      <c r="K13" s="16"/>
      <c r="L13" s="16">
        <f t="shared" si="1"/>
        <v>6.3375</v>
      </c>
      <c r="M13" s="16"/>
      <c r="N13" s="16"/>
      <c r="O13" s="16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ht="22.5" customHeight="1">
      <c r="A14" s="5" t="s">
        <v>29</v>
      </c>
      <c r="B14" s="18">
        <v>500.0</v>
      </c>
      <c r="C14" s="18">
        <v>4.5</v>
      </c>
      <c r="D14" s="18">
        <v>18.0</v>
      </c>
      <c r="E14" s="18">
        <v>12.5</v>
      </c>
      <c r="F14" s="18">
        <v>5.0</v>
      </c>
      <c r="G14" s="18">
        <v>7.5</v>
      </c>
      <c r="H14" s="16"/>
      <c r="I14" s="18">
        <v>2.0</v>
      </c>
      <c r="J14" s="18">
        <v>0.3</v>
      </c>
      <c r="K14" s="18">
        <v>1.5</v>
      </c>
      <c r="L14" s="18">
        <f t="shared" si="1"/>
        <v>13.33333333</v>
      </c>
      <c r="M14" s="16"/>
      <c r="N14" s="16"/>
      <c r="O14" s="16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ht="22.5" customHeight="1">
      <c r="A15" s="20" t="s">
        <v>30</v>
      </c>
      <c r="B15" s="18"/>
      <c r="C15" s="18"/>
      <c r="D15" s="18">
        <v>35.0</v>
      </c>
      <c r="E15" s="18">
        <v>6.0</v>
      </c>
      <c r="F15" s="18">
        <v>0.8</v>
      </c>
      <c r="G15" s="18">
        <v>2.85</v>
      </c>
      <c r="H15" s="18">
        <v>2.35</v>
      </c>
      <c r="I15" s="18">
        <v>1.8</v>
      </c>
      <c r="J15" s="18">
        <v>0.38</v>
      </c>
      <c r="K15" s="18">
        <v>1.3</v>
      </c>
      <c r="L15" s="19">
        <f t="shared" si="1"/>
        <v>8.526315789</v>
      </c>
      <c r="M15" s="16"/>
      <c r="N15" s="16"/>
      <c r="O15" s="16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ht="22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>
        <f>AVERAGE(Table1[Aspect Ratio])</f>
        <v>9.686999647</v>
      </c>
      <c r="M16" s="22"/>
      <c r="N16" s="22"/>
      <c r="O16" s="22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5"/>
      <c r="K18" s="24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5"/>
      <c r="K19" s="24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5"/>
      <c r="K20" s="24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>
      <c r="A22" s="27"/>
      <c r="B22" s="27"/>
      <c r="C22" s="27"/>
      <c r="D22" s="27"/>
      <c r="E22" s="27"/>
      <c r="F22" s="27"/>
      <c r="G22" s="27"/>
      <c r="H22" s="26"/>
      <c r="I22" s="27"/>
      <c r="J22" s="26"/>
      <c r="K22" s="27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6"/>
      <c r="K23" s="27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</sheetData>
  <hyperlinks>
    <hyperlink r:id="rId4" ref="A2"/>
    <hyperlink r:id="rId5" ref="B2"/>
    <hyperlink r:id="rId6" ref="A3"/>
    <hyperlink r:id="rId7" ref="B3"/>
    <hyperlink r:id="rId8" ref="A5"/>
    <hyperlink r:id="rId9" ref="A6"/>
    <hyperlink r:id="rId10" ref="A7"/>
    <hyperlink r:id="rId11" ref="A8"/>
    <hyperlink r:id="rId12" ref="A9"/>
    <hyperlink r:id="rId13" ref="A10"/>
    <hyperlink r:id="rId14" ref="A11"/>
    <hyperlink r:id="rId15" ref="A12"/>
    <hyperlink r:id="rId16" ref="A14"/>
    <hyperlink r:id="rId17" ref="A15"/>
  </hyperlinks>
  <drawing r:id="rId18"/>
  <legacyDrawing r:id="rId19"/>
  <tableParts count="1"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31</v>
      </c>
      <c r="B1" s="28" t="s">
        <v>32</v>
      </c>
      <c r="C1" s="28" t="s">
        <v>33</v>
      </c>
      <c r="D1" s="28" t="s">
        <v>34</v>
      </c>
      <c r="E1" s="28" t="s">
        <v>35</v>
      </c>
      <c r="F1" s="28" t="s">
        <v>36</v>
      </c>
      <c r="G1" s="28" t="s">
        <v>37</v>
      </c>
      <c r="H1" s="29" t="s">
        <v>38</v>
      </c>
      <c r="I1" s="29" t="s">
        <v>6</v>
      </c>
    </row>
    <row r="2">
      <c r="A2" s="28" t="s">
        <v>39</v>
      </c>
      <c r="B2" s="28">
        <v>4.4</v>
      </c>
      <c r="C2" s="28">
        <v>2.0</v>
      </c>
      <c r="D2" s="28">
        <v>30.0</v>
      </c>
      <c r="E2" s="28">
        <v>2.0</v>
      </c>
      <c r="F2" s="28" t="s">
        <v>17</v>
      </c>
      <c r="G2" s="28" t="s">
        <v>40</v>
      </c>
      <c r="H2" s="4"/>
      <c r="I2" s="4"/>
    </row>
    <row r="3">
      <c r="A3" s="28" t="s">
        <v>41</v>
      </c>
      <c r="B3" s="28">
        <v>21.0</v>
      </c>
      <c r="C3" s="28">
        <v>3.3</v>
      </c>
      <c r="D3" s="28">
        <v>63.0</v>
      </c>
      <c r="E3" s="28">
        <v>3.0</v>
      </c>
      <c r="F3" s="28">
        <v>4.0</v>
      </c>
      <c r="G3" s="30"/>
      <c r="H3" s="4"/>
      <c r="I3" s="4"/>
    </row>
    <row r="4">
      <c r="A4" s="28" t="s">
        <v>42</v>
      </c>
      <c r="B4" s="28">
        <v>20.0</v>
      </c>
      <c r="C4" s="28">
        <v>3.4</v>
      </c>
      <c r="D4" s="28">
        <v>80.0</v>
      </c>
      <c r="E4" s="28" t="s">
        <v>17</v>
      </c>
      <c r="F4" s="28">
        <v>1.8</v>
      </c>
      <c r="G4" s="31" t="s">
        <v>43</v>
      </c>
      <c r="H4" s="4"/>
      <c r="I4" s="4"/>
    </row>
    <row r="5">
      <c r="A5" s="28" t="s">
        <v>44</v>
      </c>
      <c r="B5" s="28">
        <v>16.0</v>
      </c>
      <c r="C5" s="28">
        <v>2.7</v>
      </c>
      <c r="D5" s="28">
        <v>60.0</v>
      </c>
      <c r="E5" s="28">
        <v>4.0</v>
      </c>
      <c r="F5" s="28">
        <v>7.0</v>
      </c>
      <c r="G5" s="30"/>
      <c r="H5" s="4"/>
      <c r="I5" s="4"/>
    </row>
    <row r="6">
      <c r="A6" s="28" t="s">
        <v>45</v>
      </c>
      <c r="B6" s="28">
        <v>15.0</v>
      </c>
      <c r="C6" s="28">
        <v>2.0</v>
      </c>
      <c r="D6" s="28">
        <v>60.0</v>
      </c>
      <c r="E6" s="28">
        <v>4.0</v>
      </c>
      <c r="F6" s="28">
        <v>5.0</v>
      </c>
      <c r="G6" s="30"/>
      <c r="H6" s="4"/>
      <c r="I6" s="4"/>
    </row>
    <row r="7">
      <c r="A7" s="28" t="s">
        <v>46</v>
      </c>
      <c r="B7" s="28">
        <v>8.5</v>
      </c>
      <c r="C7" s="28">
        <v>2.13</v>
      </c>
      <c r="D7" s="28" t="s">
        <v>17</v>
      </c>
      <c r="E7" s="28">
        <v>2.0</v>
      </c>
      <c r="F7" s="28">
        <v>1.5</v>
      </c>
      <c r="G7" s="30"/>
      <c r="H7" s="4"/>
      <c r="I7" s="4"/>
    </row>
    <row r="8">
      <c r="A8" s="28" t="s">
        <v>47</v>
      </c>
      <c r="B8" s="28">
        <v>8.5</v>
      </c>
      <c r="C8" s="28">
        <v>2.14</v>
      </c>
      <c r="D8" s="28" t="s">
        <v>17</v>
      </c>
      <c r="E8" s="28">
        <v>2.5</v>
      </c>
      <c r="F8" s="28">
        <v>1.5</v>
      </c>
      <c r="G8" s="30"/>
      <c r="H8" s="4"/>
      <c r="I8" s="4"/>
    </row>
    <row r="9">
      <c r="A9" s="28" t="s">
        <v>48</v>
      </c>
      <c r="B9" s="28">
        <v>7.0</v>
      </c>
      <c r="C9" s="28">
        <v>2.2</v>
      </c>
      <c r="D9" s="28">
        <v>70.0</v>
      </c>
      <c r="E9" s="28">
        <v>1.6</v>
      </c>
      <c r="F9" s="28">
        <v>2.0</v>
      </c>
      <c r="G9" s="28" t="s">
        <v>49</v>
      </c>
      <c r="H9" s="4"/>
      <c r="I9" s="4"/>
    </row>
    <row r="10">
      <c r="A10" s="32" t="s">
        <v>50</v>
      </c>
      <c r="B10" s="28">
        <v>2.3</v>
      </c>
      <c r="C10" s="28">
        <v>1.5</v>
      </c>
      <c r="D10" s="28">
        <v>5.0</v>
      </c>
      <c r="E10" s="28">
        <v>0.5</v>
      </c>
      <c r="F10" s="28">
        <v>0.7</v>
      </c>
      <c r="G10" s="31" t="s">
        <v>43</v>
      </c>
      <c r="H10" s="4"/>
      <c r="I10" s="4"/>
    </row>
    <row r="11">
      <c r="A11" s="28" t="s">
        <v>51</v>
      </c>
      <c r="B11" s="28">
        <v>5.4</v>
      </c>
      <c r="C11" s="28">
        <v>2.4</v>
      </c>
      <c r="D11" s="28">
        <v>100.0</v>
      </c>
      <c r="E11" s="28">
        <v>1.0</v>
      </c>
      <c r="F11" s="28" t="s">
        <v>17</v>
      </c>
      <c r="G11" s="28" t="s">
        <v>49</v>
      </c>
      <c r="H11" s="4"/>
      <c r="I11" s="4"/>
    </row>
    <row r="12">
      <c r="A12" s="29" t="s">
        <v>52</v>
      </c>
      <c r="B12" s="29">
        <v>1.6</v>
      </c>
      <c r="C12" s="29">
        <v>1.16</v>
      </c>
      <c r="D12" s="29">
        <v>27.0</v>
      </c>
      <c r="E12" s="29">
        <v>1.5</v>
      </c>
      <c r="F12" s="29" t="s">
        <v>17</v>
      </c>
      <c r="G12" s="29" t="s">
        <v>43</v>
      </c>
      <c r="H12" s="4"/>
      <c r="I12" s="4"/>
    </row>
    <row r="13">
      <c r="A13" s="29" t="s">
        <v>53</v>
      </c>
      <c r="B13" s="29">
        <v>4.5</v>
      </c>
      <c r="C13" s="29">
        <v>2.3</v>
      </c>
      <c r="D13" s="29">
        <v>40.0</v>
      </c>
      <c r="E13" s="29">
        <v>3.0</v>
      </c>
      <c r="F13" s="29" t="s">
        <v>17</v>
      </c>
      <c r="G13" s="29" t="s">
        <v>43</v>
      </c>
      <c r="H13" s="4"/>
      <c r="I13" s="4"/>
    </row>
    <row r="14">
      <c r="A14" s="33" t="s">
        <v>54</v>
      </c>
      <c r="B14" s="29">
        <v>21.0</v>
      </c>
      <c r="C14" s="29">
        <v>2.68</v>
      </c>
      <c r="D14" s="29">
        <v>90.0</v>
      </c>
      <c r="E14" s="29">
        <v>1.0</v>
      </c>
      <c r="F14" s="29">
        <v>1.0</v>
      </c>
      <c r="G14" s="29" t="s">
        <v>49</v>
      </c>
      <c r="H14" s="4"/>
      <c r="I14" s="4"/>
    </row>
    <row r="15">
      <c r="A15" s="29" t="s">
        <v>55</v>
      </c>
      <c r="B15" s="29">
        <v>3.6</v>
      </c>
      <c r="C15" s="29">
        <v>1.96</v>
      </c>
      <c r="D15" s="29">
        <v>30.0</v>
      </c>
      <c r="E15" s="29">
        <v>1.5</v>
      </c>
      <c r="F15" s="29">
        <v>0.5</v>
      </c>
      <c r="G15" s="29" t="s">
        <v>49</v>
      </c>
      <c r="H15" s="4"/>
      <c r="I15" s="4"/>
    </row>
    <row r="16">
      <c r="A16" s="33" t="s">
        <v>56</v>
      </c>
      <c r="B16" s="29">
        <v>18.0</v>
      </c>
      <c r="C16" s="29">
        <v>1.78</v>
      </c>
      <c r="D16" s="29">
        <v>100.0</v>
      </c>
      <c r="E16" s="29">
        <v>1.5</v>
      </c>
      <c r="F16" s="29">
        <v>2.0</v>
      </c>
      <c r="G16" s="29" t="s">
        <v>49</v>
      </c>
      <c r="H16" s="4"/>
      <c r="I16" s="29">
        <v>8.4</v>
      </c>
    </row>
  </sheetData>
  <hyperlinks>
    <hyperlink r:id="rId1" ref="A10"/>
    <hyperlink r:id="rId2" ref="A14"/>
    <hyperlink r:id="rId3" ref="A1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2.75"/>
    <col customWidth="1" min="3" max="3" width="15.0"/>
    <col customWidth="1" min="4" max="14" width="12.75"/>
    <col customWidth="1" min="15" max="15" width="16.88"/>
    <col customWidth="1" min="16" max="31" width="12.75"/>
  </cols>
  <sheetData>
    <row r="1" ht="22.5" customHeight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11</v>
      </c>
      <c r="L1" s="34" t="s">
        <v>12</v>
      </c>
      <c r="M1" s="34" t="s">
        <v>13</v>
      </c>
      <c r="N1" s="34" t="s">
        <v>14</v>
      </c>
      <c r="O1" s="35" t="s">
        <v>57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2.5" customHeight="1">
      <c r="A2" s="5" t="s">
        <v>58</v>
      </c>
      <c r="B2" s="37">
        <v>250.0</v>
      </c>
      <c r="C2" s="37">
        <v>4.0</v>
      </c>
      <c r="D2" s="37">
        <v>18.89</v>
      </c>
      <c r="E2" s="37">
        <v>10.0</v>
      </c>
      <c r="F2" s="37">
        <v>4.4</v>
      </c>
      <c r="G2" s="37">
        <v>4.4</v>
      </c>
      <c r="H2" s="37">
        <v>1.2</v>
      </c>
      <c r="I2" s="37">
        <v>3.0</v>
      </c>
      <c r="J2" s="37">
        <v>0.6373</v>
      </c>
      <c r="K2" s="38">
        <f t="shared" ref="K2:K8" si="1">(I2^2)/J2</f>
        <v>14.12207751</v>
      </c>
      <c r="L2" s="37">
        <v>77.0</v>
      </c>
      <c r="M2" s="37">
        <v>284.61</v>
      </c>
      <c r="N2" s="39">
        <f t="shared" ref="N2:N8" si="2">L2/M2</f>
        <v>0.270545659</v>
      </c>
      <c r="O2" s="40">
        <v>740.0</v>
      </c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22.5" customHeight="1">
      <c r="A3" s="41" t="s">
        <v>59</v>
      </c>
      <c r="B3" s="37">
        <v>60.0</v>
      </c>
      <c r="C3" s="37">
        <v>6.5</v>
      </c>
      <c r="D3" s="37">
        <v>13.0</v>
      </c>
      <c r="E3" s="37">
        <v>12.2</v>
      </c>
      <c r="F3" s="37">
        <v>2.5</v>
      </c>
      <c r="G3" s="37">
        <v>9.56</v>
      </c>
      <c r="H3" s="37">
        <v>0.14</v>
      </c>
      <c r="I3" s="37">
        <v>4.6</v>
      </c>
      <c r="J3" s="37">
        <v>1.1121</v>
      </c>
      <c r="K3" s="38">
        <f t="shared" si="1"/>
        <v>19.02706591</v>
      </c>
      <c r="L3" s="37">
        <v>130.0</v>
      </c>
      <c r="M3" s="37">
        <v>345.0</v>
      </c>
      <c r="N3" s="39">
        <f t="shared" si="2"/>
        <v>0.3768115942</v>
      </c>
      <c r="O3" s="40">
        <v>2200.0</v>
      </c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22.5" customHeight="1">
      <c r="A4" s="43" t="s">
        <v>60</v>
      </c>
      <c r="B4" s="37" t="s">
        <v>61</v>
      </c>
      <c r="C4" s="37">
        <v>1.5</v>
      </c>
      <c r="D4" s="37">
        <v>13.89</v>
      </c>
      <c r="E4" s="37">
        <v>7.0</v>
      </c>
      <c r="F4" s="37">
        <v>2.8</v>
      </c>
      <c r="G4" s="37"/>
      <c r="H4" s="37"/>
      <c r="I4" s="37">
        <v>3.0</v>
      </c>
      <c r="J4" s="37">
        <v>0.5395</v>
      </c>
      <c r="K4" s="38">
        <f t="shared" si="1"/>
        <v>16.68211307</v>
      </c>
      <c r="L4" s="37">
        <v>140.0</v>
      </c>
      <c r="M4" s="37">
        <v>224.0</v>
      </c>
      <c r="N4" s="39">
        <f t="shared" si="2"/>
        <v>0.625</v>
      </c>
      <c r="O4" s="40">
        <v>1390.0</v>
      </c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22.5" customHeight="1">
      <c r="A5" s="41" t="s">
        <v>62</v>
      </c>
      <c r="B5" s="37">
        <v>200.0</v>
      </c>
      <c r="C5" s="37">
        <v>2.4</v>
      </c>
      <c r="D5" s="37">
        <v>17.0</v>
      </c>
      <c r="E5" s="37">
        <v>7.0</v>
      </c>
      <c r="F5" s="37">
        <v>1.2</v>
      </c>
      <c r="G5" s="37"/>
      <c r="H5" s="37"/>
      <c r="I5" s="37">
        <v>2.1</v>
      </c>
      <c r="J5" s="37">
        <v>0.59</v>
      </c>
      <c r="K5" s="38">
        <f t="shared" si="1"/>
        <v>7.474576271</v>
      </c>
      <c r="L5" s="37">
        <v>135.0</v>
      </c>
      <c r="M5" s="37">
        <v>300.0</v>
      </c>
      <c r="N5" s="39">
        <f t="shared" si="2"/>
        <v>0.45</v>
      </c>
      <c r="O5" s="40">
        <v>1200.0</v>
      </c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22.5" customHeight="1">
      <c r="A6" s="41" t="s">
        <v>63</v>
      </c>
      <c r="B6" s="37">
        <v>60.0</v>
      </c>
      <c r="C6" s="37">
        <v>3.0</v>
      </c>
      <c r="D6" s="37">
        <v>13.0</v>
      </c>
      <c r="E6" s="37">
        <v>7.1</v>
      </c>
      <c r="F6" s="37">
        <v>1.8</v>
      </c>
      <c r="G6" s="37"/>
      <c r="H6" s="37"/>
      <c r="I6" s="37">
        <v>2.8</v>
      </c>
      <c r="J6" s="37">
        <v>0.77815</v>
      </c>
      <c r="K6" s="38">
        <f t="shared" si="1"/>
        <v>10.07517831</v>
      </c>
      <c r="L6" s="37">
        <v>209.0</v>
      </c>
      <c r="M6" s="37">
        <v>364.5</v>
      </c>
      <c r="N6" s="39">
        <f t="shared" si="2"/>
        <v>0.573388203</v>
      </c>
      <c r="O6" s="40">
        <v>1400.0</v>
      </c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22.5" customHeight="1">
      <c r="A7" s="41" t="s">
        <v>64</v>
      </c>
      <c r="B7" s="37">
        <v>20.0</v>
      </c>
      <c r="C7" s="37">
        <v>3.0</v>
      </c>
      <c r="D7" s="37">
        <v>16.67</v>
      </c>
      <c r="E7" s="37">
        <v>8.0</v>
      </c>
      <c r="F7" s="37">
        <v>2.0</v>
      </c>
      <c r="G7" s="37">
        <v>6.0</v>
      </c>
      <c r="H7" s="37"/>
      <c r="I7" s="37">
        <v>3.3</v>
      </c>
      <c r="J7" s="37">
        <v>0.83754</v>
      </c>
      <c r="K7" s="38">
        <f t="shared" si="1"/>
        <v>13.00236407</v>
      </c>
      <c r="L7" s="37">
        <v>106.0</v>
      </c>
      <c r="M7" s="37">
        <v>280.53</v>
      </c>
      <c r="N7" s="39">
        <f t="shared" si="2"/>
        <v>0.3778562008</v>
      </c>
      <c r="O7" s="40">
        <v>1800.0</v>
      </c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22.5" customHeight="1">
      <c r="A8" s="41" t="s">
        <v>65</v>
      </c>
      <c r="B8" s="37">
        <v>20.0</v>
      </c>
      <c r="C8" s="37">
        <v>2.0</v>
      </c>
      <c r="D8" s="37">
        <v>20.0</v>
      </c>
      <c r="E8" s="37">
        <v>8.0</v>
      </c>
      <c r="F8" s="37" t="s">
        <v>61</v>
      </c>
      <c r="G8" s="37"/>
      <c r="H8" s="37"/>
      <c r="I8" s="37">
        <v>2.7</v>
      </c>
      <c r="J8" s="37">
        <v>0.6345</v>
      </c>
      <c r="K8" s="38">
        <f t="shared" si="1"/>
        <v>11.4893617</v>
      </c>
      <c r="L8" s="37">
        <v>166.0</v>
      </c>
      <c r="M8" s="37">
        <v>272.0</v>
      </c>
      <c r="N8" s="39">
        <f t="shared" si="2"/>
        <v>0.6102941176</v>
      </c>
      <c r="O8" s="40">
        <v>1900.0</v>
      </c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</row>
    <row r="9" ht="22.5" customHeight="1">
      <c r="A9" s="46"/>
      <c r="B9" s="47"/>
      <c r="C9" s="47"/>
      <c r="D9" s="48"/>
      <c r="E9" s="48"/>
      <c r="F9" s="46"/>
      <c r="G9" s="48"/>
      <c r="H9" s="48"/>
      <c r="I9" s="48"/>
      <c r="J9" s="49"/>
      <c r="K9" s="50"/>
      <c r="L9" s="51"/>
      <c r="M9" s="51"/>
      <c r="N9" s="52"/>
      <c r="O9" s="53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</row>
    <row r="10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</row>
    <row r="1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</row>
    <row r="1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</row>
  </sheetData>
  <dataValidations>
    <dataValidation type="custom" allowBlank="1" showDropDown="1" sqref="K2:K9 N2:N9">
      <formula1>AND(ISNUMBER(K2),(NOT(OR(NOT(ISERROR(DATEVALUE(K2))), AND(ISNUMBER(K2), LEFT(CELL("format", K2))="D")))))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</hyperlinks>
  <drawing r:id="rId8"/>
  <tableParts count="1"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10" width="14.88"/>
  </cols>
  <sheetData>
    <row r="1" ht="22.5" customHeight="1">
      <c r="A1" s="54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8</v>
      </c>
      <c r="I1" s="55" t="s">
        <v>9</v>
      </c>
      <c r="J1" s="55" t="s">
        <v>10</v>
      </c>
    </row>
    <row r="2" ht="22.5" customHeight="1">
      <c r="A2" s="56" t="s">
        <v>66</v>
      </c>
      <c r="B2" s="57">
        <v>60.0</v>
      </c>
      <c r="C2" s="57">
        <v>6.5</v>
      </c>
      <c r="D2" s="57">
        <v>13.06</v>
      </c>
      <c r="E2" s="57">
        <v>10.7</v>
      </c>
      <c r="F2" s="57">
        <v>2.5</v>
      </c>
      <c r="G2" s="57">
        <v>6.0</v>
      </c>
      <c r="H2" s="57">
        <v>4.6</v>
      </c>
      <c r="I2" s="57">
        <v>0.87</v>
      </c>
      <c r="J2" s="57">
        <v>2.2</v>
      </c>
    </row>
    <row r="3" ht="22.5" customHeight="1">
      <c r="A3" s="56" t="s">
        <v>63</v>
      </c>
      <c r="B3" s="57">
        <v>60.0</v>
      </c>
      <c r="C3" s="57">
        <v>2.5</v>
      </c>
      <c r="D3" s="57">
        <v>13.61</v>
      </c>
      <c r="E3" s="57">
        <v>7.0</v>
      </c>
      <c r="F3" s="57">
        <v>1.8</v>
      </c>
      <c r="G3" s="57">
        <v>5.3</v>
      </c>
      <c r="H3" s="57">
        <v>2.8</v>
      </c>
      <c r="I3" s="58"/>
      <c r="J3" s="57">
        <v>1.4</v>
      </c>
    </row>
    <row r="4" ht="22.5" customHeight="1">
      <c r="A4" s="56" t="s">
        <v>67</v>
      </c>
      <c r="B4" s="57">
        <v>3.0</v>
      </c>
      <c r="C4" s="57">
        <v>3.0</v>
      </c>
      <c r="D4" s="57">
        <v>16.67</v>
      </c>
      <c r="E4" s="57">
        <v>2.2</v>
      </c>
      <c r="F4" s="57">
        <v>2.0</v>
      </c>
      <c r="G4" s="58"/>
      <c r="H4" s="57">
        <v>3.3</v>
      </c>
      <c r="I4" s="58"/>
      <c r="J4" s="57">
        <v>0.9</v>
      </c>
    </row>
    <row r="5" ht="22.5" customHeight="1">
      <c r="A5" s="56" t="s">
        <v>68</v>
      </c>
      <c r="B5" s="57">
        <v>10.0</v>
      </c>
      <c r="C5" s="57">
        <v>1.25</v>
      </c>
      <c r="D5" s="57">
        <v>8.89</v>
      </c>
      <c r="E5" s="57">
        <v>9.0</v>
      </c>
      <c r="F5" s="57">
        <v>3.7</v>
      </c>
      <c r="G5" s="58"/>
      <c r="H5" s="57">
        <v>1.4</v>
      </c>
      <c r="I5" s="58"/>
      <c r="J5" s="57">
        <v>1.82</v>
      </c>
    </row>
    <row r="6" ht="22.5" customHeight="1">
      <c r="A6" s="56"/>
      <c r="B6" s="57"/>
      <c r="C6" s="57"/>
      <c r="D6" s="57"/>
      <c r="E6" s="57"/>
      <c r="F6" s="57"/>
      <c r="G6" s="58"/>
      <c r="H6" s="57"/>
      <c r="I6" s="58"/>
      <c r="J6" s="57"/>
    </row>
    <row r="7" ht="22.5" customHeight="1">
      <c r="A7" s="56" t="s">
        <v>69</v>
      </c>
      <c r="B7" s="57">
        <v>15.0</v>
      </c>
      <c r="C7" s="57">
        <v>1.5</v>
      </c>
      <c r="D7" s="57">
        <v>19.44</v>
      </c>
      <c r="E7" s="57">
        <v>7.8</v>
      </c>
      <c r="F7" s="58"/>
      <c r="G7" s="58"/>
      <c r="H7" s="57">
        <v>2.7</v>
      </c>
      <c r="I7" s="58"/>
      <c r="J7" s="57">
        <v>1.45</v>
      </c>
    </row>
    <row r="8" ht="22.5" customHeight="1">
      <c r="A8" s="56" t="s">
        <v>70</v>
      </c>
      <c r="B8" s="58"/>
      <c r="C8" s="58"/>
      <c r="D8" s="57">
        <v>15.43</v>
      </c>
      <c r="E8" s="58"/>
      <c r="F8" s="58"/>
      <c r="G8" s="58"/>
      <c r="H8" s="57">
        <v>2.77</v>
      </c>
      <c r="I8" s="58"/>
      <c r="J8" s="58"/>
    </row>
    <row r="10">
      <c r="A10" s="59" t="s">
        <v>0</v>
      </c>
      <c r="B10" s="59" t="s">
        <v>1</v>
      </c>
      <c r="C10" s="59" t="s">
        <v>2</v>
      </c>
      <c r="D10" s="59" t="s">
        <v>3</v>
      </c>
      <c r="E10" s="59" t="s">
        <v>4</v>
      </c>
      <c r="F10" s="59" t="s">
        <v>71</v>
      </c>
      <c r="G10" s="59" t="s">
        <v>8</v>
      </c>
      <c r="H10" s="59" t="s">
        <v>72</v>
      </c>
      <c r="I10" s="59" t="s">
        <v>11</v>
      </c>
      <c r="J10" s="59" t="s">
        <v>12</v>
      </c>
      <c r="K10" s="59" t="s">
        <v>13</v>
      </c>
      <c r="L10" s="59" t="s">
        <v>14</v>
      </c>
    </row>
    <row r="11">
      <c r="A11" s="60" t="s">
        <v>27</v>
      </c>
      <c r="B11" s="60">
        <v>10.0</v>
      </c>
      <c r="C11" s="60">
        <v>2.0</v>
      </c>
      <c r="D11" s="60">
        <v>18.0</v>
      </c>
      <c r="E11" s="60">
        <v>9.5</v>
      </c>
      <c r="F11" s="60">
        <v>2.3</v>
      </c>
      <c r="G11" s="60">
        <v>3.0</v>
      </c>
      <c r="H11" s="60">
        <v>0.7</v>
      </c>
      <c r="I11" s="60">
        <v>12.86</v>
      </c>
      <c r="J11" s="60">
        <v>194.0</v>
      </c>
      <c r="K11" s="60">
        <v>305.0</v>
      </c>
      <c r="L11" s="60">
        <v>0.636</v>
      </c>
    </row>
    <row r="12">
      <c r="A12" s="60" t="s">
        <v>58</v>
      </c>
      <c r="B12" s="60">
        <v>250.0</v>
      </c>
      <c r="C12" s="60">
        <v>2.6</v>
      </c>
      <c r="D12" s="60">
        <v>18.89</v>
      </c>
      <c r="E12" s="60">
        <v>10.0</v>
      </c>
      <c r="F12" s="60">
        <v>4.4</v>
      </c>
      <c r="G12" s="60">
        <v>3.0</v>
      </c>
      <c r="H12" s="60" t="s">
        <v>61</v>
      </c>
      <c r="I12" s="60" t="s">
        <v>61</v>
      </c>
      <c r="J12" s="60" t="s">
        <v>61</v>
      </c>
      <c r="K12" s="60" t="s">
        <v>61</v>
      </c>
      <c r="L12" s="60" t="s">
        <v>61</v>
      </c>
    </row>
    <row r="13">
      <c r="A13" s="60" t="s">
        <v>59</v>
      </c>
      <c r="B13" s="60">
        <v>60.0</v>
      </c>
      <c r="C13" s="60">
        <v>6.5</v>
      </c>
      <c r="D13" s="60">
        <v>13.0</v>
      </c>
      <c r="E13" s="60">
        <v>10.7</v>
      </c>
      <c r="F13" s="60">
        <v>2.5</v>
      </c>
      <c r="G13" s="60">
        <v>4.6</v>
      </c>
      <c r="H13" s="60" t="s">
        <v>61</v>
      </c>
      <c r="I13" s="60" t="s">
        <v>61</v>
      </c>
      <c r="J13" s="60" t="s">
        <v>61</v>
      </c>
      <c r="K13" s="60" t="s">
        <v>61</v>
      </c>
      <c r="L13" s="60" t="s">
        <v>61</v>
      </c>
    </row>
    <row r="14">
      <c r="A14" s="60" t="s">
        <v>26</v>
      </c>
      <c r="B14" s="60">
        <v>200.0</v>
      </c>
      <c r="C14" s="60">
        <v>2.3</v>
      </c>
      <c r="D14" s="60">
        <v>18.0</v>
      </c>
      <c r="E14" s="60">
        <v>7.0</v>
      </c>
      <c r="F14" s="60">
        <v>1.2</v>
      </c>
      <c r="G14" s="60">
        <v>2.1</v>
      </c>
      <c r="H14" s="60" t="s">
        <v>61</v>
      </c>
      <c r="I14" s="60" t="s">
        <v>61</v>
      </c>
      <c r="J14" s="60" t="s">
        <v>61</v>
      </c>
      <c r="K14" s="60" t="s">
        <v>61</v>
      </c>
      <c r="L14" s="60" t="s">
        <v>61</v>
      </c>
    </row>
    <row r="15">
      <c r="A15" s="60" t="s">
        <v>73</v>
      </c>
      <c r="B15" s="60" t="s">
        <v>61</v>
      </c>
      <c r="C15" s="60">
        <v>1.5</v>
      </c>
      <c r="D15" s="60">
        <v>13.89</v>
      </c>
      <c r="E15" s="60">
        <v>7.0</v>
      </c>
      <c r="F15" s="60">
        <v>2.8</v>
      </c>
      <c r="G15" s="60">
        <v>3.0</v>
      </c>
      <c r="H15" s="60" t="s">
        <v>61</v>
      </c>
      <c r="I15" s="60" t="s">
        <v>61</v>
      </c>
      <c r="J15" s="60" t="s">
        <v>61</v>
      </c>
      <c r="K15" s="60" t="s">
        <v>61</v>
      </c>
      <c r="L15" s="60" t="s">
        <v>61</v>
      </c>
    </row>
    <row r="16">
      <c r="A16" s="60" t="s">
        <v>62</v>
      </c>
      <c r="B16" s="60">
        <v>200.0</v>
      </c>
      <c r="C16" s="60" t="s">
        <v>61</v>
      </c>
      <c r="D16" s="60" t="s">
        <v>74</v>
      </c>
      <c r="E16" s="60">
        <v>7.0</v>
      </c>
      <c r="F16" s="60">
        <v>1.2</v>
      </c>
      <c r="G16" s="60">
        <v>2.1</v>
      </c>
      <c r="H16" s="60">
        <v>0.59</v>
      </c>
      <c r="I16" s="60">
        <v>7.47</v>
      </c>
      <c r="J16" s="60" t="s">
        <v>61</v>
      </c>
      <c r="K16" s="60" t="s">
        <v>61</v>
      </c>
      <c r="L16" s="60" t="s">
        <v>61</v>
      </c>
    </row>
    <row r="17">
      <c r="A17" s="60" t="s">
        <v>75</v>
      </c>
      <c r="B17" s="60">
        <v>20.0</v>
      </c>
      <c r="C17" s="60">
        <v>2.0</v>
      </c>
      <c r="D17" s="60">
        <v>20.0</v>
      </c>
      <c r="E17" s="60">
        <v>5.5</v>
      </c>
      <c r="F17" s="60">
        <v>0.7</v>
      </c>
      <c r="G17" s="60">
        <v>1.96</v>
      </c>
      <c r="H17" s="60">
        <v>0.51</v>
      </c>
      <c r="I17" s="60">
        <v>7.53</v>
      </c>
      <c r="J17" s="60" t="s">
        <v>61</v>
      </c>
      <c r="K17" s="60" t="s">
        <v>61</v>
      </c>
      <c r="L17" s="60" t="s">
        <v>61</v>
      </c>
    </row>
    <row r="18">
      <c r="A18" s="60" t="s">
        <v>63</v>
      </c>
      <c r="B18" s="60">
        <v>60.0</v>
      </c>
      <c r="C18" s="60">
        <v>2.5</v>
      </c>
      <c r="D18" s="60">
        <v>13.0</v>
      </c>
      <c r="E18" s="60">
        <v>7.0</v>
      </c>
      <c r="F18" s="60">
        <v>1.8</v>
      </c>
      <c r="G18" s="60">
        <v>1.4</v>
      </c>
      <c r="H18" s="60" t="s">
        <v>61</v>
      </c>
      <c r="I18" s="60" t="s">
        <v>61</v>
      </c>
      <c r="J18" s="60" t="s">
        <v>61</v>
      </c>
      <c r="K18" s="60" t="s">
        <v>61</v>
      </c>
      <c r="L18" s="60" t="s">
        <v>61</v>
      </c>
    </row>
    <row r="19">
      <c r="A19" s="60" t="s">
        <v>76</v>
      </c>
      <c r="B19" s="60">
        <v>15.0</v>
      </c>
      <c r="C19" s="60">
        <v>1.5</v>
      </c>
      <c r="D19" s="60">
        <v>13.0</v>
      </c>
      <c r="E19" s="60">
        <v>3.7</v>
      </c>
      <c r="F19" s="60">
        <v>0.9</v>
      </c>
      <c r="G19" s="60">
        <v>1.5</v>
      </c>
      <c r="H19" s="60">
        <v>0.32</v>
      </c>
      <c r="I19" s="60">
        <v>7.03</v>
      </c>
      <c r="J19" s="60" t="s">
        <v>61</v>
      </c>
      <c r="K19" s="60" t="s">
        <v>61</v>
      </c>
      <c r="L19" s="60" t="s">
        <v>61</v>
      </c>
    </row>
    <row r="20">
      <c r="A20" s="60" t="s">
        <v>67</v>
      </c>
      <c r="B20" s="60">
        <v>3.0</v>
      </c>
      <c r="C20" s="60">
        <v>3.0</v>
      </c>
      <c r="D20" s="60">
        <v>13.0</v>
      </c>
      <c r="E20" s="60">
        <v>6.0</v>
      </c>
      <c r="F20" s="60">
        <v>2.0</v>
      </c>
      <c r="G20" s="60">
        <v>3.3</v>
      </c>
      <c r="H20" s="60">
        <v>0.87</v>
      </c>
      <c r="I20" s="60">
        <v>12.52</v>
      </c>
      <c r="J20" s="60" t="s">
        <v>61</v>
      </c>
      <c r="K20" s="60" t="s">
        <v>61</v>
      </c>
      <c r="L20" s="60" t="s">
        <v>61</v>
      </c>
    </row>
    <row r="21">
      <c r="A21" s="60" t="s">
        <v>68</v>
      </c>
      <c r="B21" s="60">
        <v>10.0</v>
      </c>
      <c r="C21" s="60">
        <v>1.25</v>
      </c>
      <c r="D21" s="60">
        <v>9.0</v>
      </c>
      <c r="E21" s="60">
        <v>2.2</v>
      </c>
      <c r="F21" s="60" t="s">
        <v>61</v>
      </c>
      <c r="G21" s="60">
        <v>1.4</v>
      </c>
      <c r="H21" s="60" t="s">
        <v>61</v>
      </c>
      <c r="I21" s="60" t="s">
        <v>61</v>
      </c>
      <c r="J21" s="60" t="s">
        <v>61</v>
      </c>
      <c r="K21" s="60" t="s">
        <v>61</v>
      </c>
      <c r="L21" s="60" t="s">
        <v>61</v>
      </c>
    </row>
    <row r="22">
      <c r="A22" s="60" t="s">
        <v>69</v>
      </c>
      <c r="B22" s="60" t="s">
        <v>77</v>
      </c>
      <c r="C22" s="60" t="s">
        <v>78</v>
      </c>
      <c r="D22" s="60" t="s">
        <v>61</v>
      </c>
      <c r="E22" s="60" t="s">
        <v>79</v>
      </c>
      <c r="F22" s="60" t="s">
        <v>61</v>
      </c>
      <c r="G22" s="60">
        <v>2.7</v>
      </c>
      <c r="H22" s="60" t="s">
        <v>61</v>
      </c>
      <c r="I22" s="60" t="s">
        <v>61</v>
      </c>
      <c r="J22" s="60" t="s">
        <v>61</v>
      </c>
      <c r="K22" s="60" t="s">
        <v>61</v>
      </c>
      <c r="L22" s="60" t="s">
        <v>61</v>
      </c>
    </row>
    <row r="23">
      <c r="A23" s="60" t="s">
        <v>80</v>
      </c>
      <c r="B23" s="60">
        <v>30.0</v>
      </c>
      <c r="C23" s="60">
        <v>2.0</v>
      </c>
      <c r="D23" s="60">
        <v>16.11</v>
      </c>
      <c r="E23" s="60">
        <v>3.5</v>
      </c>
      <c r="F23" s="60" t="s">
        <v>61</v>
      </c>
      <c r="G23" s="60">
        <v>2.0</v>
      </c>
      <c r="H23" s="60" t="s">
        <v>61</v>
      </c>
      <c r="I23" s="60" t="s">
        <v>61</v>
      </c>
      <c r="J23" s="60" t="s">
        <v>61</v>
      </c>
      <c r="K23" s="60" t="s">
        <v>61</v>
      </c>
      <c r="L23" s="60" t="s">
        <v>61</v>
      </c>
    </row>
  </sheetData>
  <dataValidations>
    <dataValidation type="custom" allowBlank="1" showDropDown="1" sqref="B2:J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